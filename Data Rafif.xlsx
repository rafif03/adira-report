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TENG JUNI 16\2025\"/>
    </mc:Choice>
  </mc:AlternateContent>
  <xr:revisionPtr revIDLastSave="0" documentId="13_ncr:1_{A399BFC0-F8A1-42CF-8399-7B346825EC24}" xr6:coauthVersionLast="47" xr6:coauthVersionMax="47" xr10:uidLastSave="{00000000-0000-0000-0000-000000000000}"/>
  <bookViews>
    <workbookView xWindow="-110" yWindow="-110" windowWidth="19420" windowHeight="10300" xr2:uid="{517CEE87-24EA-4A76-B855-1D7912EBE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" l="1"/>
  <c r="M49" i="1"/>
  <c r="K49" i="1"/>
  <c r="J49" i="1"/>
  <c r="L49" i="1" s="1"/>
  <c r="I49" i="1"/>
  <c r="N48" i="1"/>
  <c r="M48" i="1"/>
  <c r="J48" i="1"/>
  <c r="J47" i="1" s="1"/>
  <c r="L47" i="1" s="1"/>
  <c r="I48" i="1"/>
  <c r="I47" i="1" s="1"/>
  <c r="K47" i="1" s="1"/>
  <c r="H47" i="1"/>
  <c r="G47" i="1"/>
  <c r="F47" i="1"/>
  <c r="E47" i="1"/>
  <c r="D47" i="1"/>
  <c r="N47" i="1" s="1"/>
  <c r="C47" i="1"/>
  <c r="M47" i="1" s="1"/>
  <c r="K48" i="1" l="1"/>
  <c r="L48" i="1"/>
  <c r="E4" i="1"/>
  <c r="F4" i="1"/>
  <c r="G4" i="1"/>
  <c r="H4" i="1"/>
  <c r="I4" i="1"/>
  <c r="K4" i="1" s="1"/>
  <c r="J4" i="1"/>
  <c r="L4" i="1" s="1"/>
  <c r="D4" i="1"/>
  <c r="C4" i="1"/>
  <c r="K5" i="1"/>
  <c r="L5" i="1"/>
  <c r="M5" i="1"/>
  <c r="N5" i="1"/>
  <c r="K6" i="1"/>
  <c r="L6" i="1"/>
  <c r="M6" i="1"/>
  <c r="N6" i="1"/>
  <c r="J5" i="1"/>
  <c r="J6" i="1"/>
  <c r="I5" i="1"/>
  <c r="I6" i="1"/>
  <c r="M4" i="1" l="1"/>
  <c r="N4" i="1"/>
</calcChain>
</file>

<file path=xl/sharedStrings.xml><?xml version="1.0" encoding="utf-8"?>
<sst xmlns="http://schemas.openxmlformats.org/spreadsheetml/2006/main" count="116" uniqueCount="27">
  <si>
    <t>AREA/ RBM</t>
  </si>
  <si>
    <t>SUMBAGUT</t>
  </si>
  <si>
    <t>RBM 1</t>
  </si>
  <si>
    <t>RBM 2</t>
  </si>
  <si>
    <t>SUMBATENG</t>
  </si>
  <si>
    <t>SUMBAGSEL</t>
  </si>
  <si>
    <t>JABO 1</t>
  </si>
  <si>
    <t>JABO 2</t>
  </si>
  <si>
    <t>JABAR</t>
  </si>
  <si>
    <t>RBM 3</t>
  </si>
  <si>
    <t>JATENG</t>
  </si>
  <si>
    <t>JATIM</t>
  </si>
  <si>
    <t>BNT</t>
  </si>
  <si>
    <t>SULTAN</t>
  </si>
  <si>
    <t>PASIMA</t>
  </si>
  <si>
    <t>KALIMANTAN</t>
  </si>
  <si>
    <t>TARGET</t>
  </si>
  <si>
    <t>Unit Finance</t>
  </si>
  <si>
    <t>Amount Finance</t>
  </si>
  <si>
    <t>REALISASI</t>
  </si>
  <si>
    <t>REALISASI (M-1)</t>
  </si>
  <si>
    <t>GROWTH</t>
  </si>
  <si>
    <t>GRAND TOTAL</t>
  </si>
  <si>
    <t>GROWTH %)</t>
  </si>
  <si>
    <t>ACHIEVEMENT %</t>
  </si>
  <si>
    <t>UMCY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</si>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</sst>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0" borderId="1" xfId="0" applyFont="1" applyFill="1" applyBorder="1"/>
    <xf numFmtId="41" fontId="0" fillId="0" borderId="1" xfId="1" applyFont="1" applyBorder="1"/>
    <xf numFmtId="9" fontId="0" fillId="0" borderId="1" xfId="2" applyFont="1" applyBorder="1"/>
    <xf numFmtId="0" fontId="4" fillId="0" borderId="0" xfId="0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1541-A425-4E18-B345-82DD75969383}">
  <dimension ref="B1:N84"/>
  <sheetViews>
    <sheetView tabSelected="1" zoomScale="80" zoomScaleNormal="80" workbookViewId="0">
      <selection activeCell="O8" sqref="O8"/>
    </sheetView>
  </sheetViews>
  <sheetFormatPr defaultRowHeight="14.5" x14ac:dyDescent="0.35"/>
  <cols>
    <col min="2" max="2" width="19.90625" customWidth="1"/>
    <col min="3" max="3" width="12.7265625" customWidth="1"/>
    <col min="4" max="4" width="14.453125" customWidth="1"/>
    <col min="5" max="5" width="12.6328125" customWidth="1"/>
    <col min="6" max="6" width="14.7265625" customWidth="1"/>
    <col min="7" max="7" width="12.54296875" customWidth="1"/>
    <col min="8" max="8" width="15.1796875" customWidth="1"/>
    <col min="9" max="9" width="13.36328125" customWidth="1"/>
    <col min="10" max="12" width="14.6328125" customWidth="1"/>
    <col min="13" max="13" width="12.81640625" customWidth="1"/>
    <col min="14" max="14" width="15.08984375" customWidth="1"/>
  </cols>
  <sheetData>
    <row r="1" spans="2:14" ht="21" x14ac:dyDescent="0.5">
      <c r="B1" s="9" t="s">
        <v>25</v>
      </c>
    </row>
    <row r="2" spans="2:14" x14ac:dyDescent="0.35">
      <c r="B2" s="1" t="s">
        <v>0</v>
      </c>
      <c r="C2" s="2" t="s">
        <v>16</v>
      </c>
      <c r="D2" s="2"/>
      <c r="E2" s="2" t="s">
        <v>19</v>
      </c>
      <c r="F2" s="2"/>
      <c r="G2" s="2" t="s">
        <v>20</v>
      </c>
      <c r="H2" s="2"/>
      <c r="I2" s="2" t="s">
        <v>21</v>
      </c>
      <c r="J2" s="2"/>
      <c r="K2" s="2" t="s">
        <v>23</v>
      </c>
      <c r="L2" s="2"/>
      <c r="M2" s="2" t="s">
        <v>24</v>
      </c>
      <c r="N2" s="2"/>
    </row>
    <row r="3" spans="2:14" x14ac:dyDescent="0.35">
      <c r="B3" s="1"/>
      <c r="C3" s="3" t="s">
        <v>17</v>
      </c>
      <c r="D3" s="3" t="s">
        <v>18</v>
      </c>
      <c r="E3" s="3" t="s">
        <v>17</v>
      </c>
      <c r="F3" s="3" t="s">
        <v>18</v>
      </c>
      <c r="G3" s="3" t="s">
        <v>17</v>
      </c>
      <c r="H3" s="3" t="s">
        <v>18</v>
      </c>
      <c r="I3" s="3" t="s">
        <v>17</v>
      </c>
      <c r="J3" s="3" t="s">
        <v>18</v>
      </c>
      <c r="K3" s="3" t="s">
        <v>17</v>
      </c>
      <c r="L3" s="3" t="s">
        <v>18</v>
      </c>
      <c r="M3" s="3" t="s">
        <v>17</v>
      </c>
      <c r="N3" s="3" t="s">
        <v>18</v>
      </c>
    </row>
    <row r="4" spans="2:14" x14ac:dyDescent="0.35">
      <c r="B4" s="4" t="s">
        <v>1</v>
      </c>
      <c r="C4" s="7">
        <f>+C5+C6</f>
        <v>100</v>
      </c>
      <c r="D4" s="7">
        <f>+D5+D6</f>
        <v>1000000000</v>
      </c>
      <c r="E4" s="7">
        <f t="shared" ref="E4:J4" si="0">+E5+E6</f>
        <v>12</v>
      </c>
      <c r="F4" s="7">
        <f t="shared" si="0"/>
        <v>110000000</v>
      </c>
      <c r="G4" s="7">
        <f t="shared" si="0"/>
        <v>15</v>
      </c>
      <c r="H4" s="7">
        <f t="shared" si="0"/>
        <v>125000000</v>
      </c>
      <c r="I4" s="7">
        <f t="shared" si="0"/>
        <v>-3</v>
      </c>
      <c r="J4" s="7">
        <f t="shared" si="0"/>
        <v>-15000000</v>
      </c>
      <c r="K4" s="8">
        <f>+I4/G4</f>
        <v>-0.2</v>
      </c>
      <c r="L4" s="8">
        <f>+J4/H4</f>
        <v>-0.12</v>
      </c>
      <c r="M4" s="8">
        <f>+E4/C4</f>
        <v>0.12</v>
      </c>
      <c r="N4" s="8">
        <f>+F4/D4</f>
        <v>0.11</v>
      </c>
    </row>
    <row r="5" spans="2:14" x14ac:dyDescent="0.35">
      <c r="B5" s="5" t="s">
        <v>2</v>
      </c>
      <c r="C5" s="5">
        <v>50</v>
      </c>
      <c r="D5" s="7">
        <v>500000000</v>
      </c>
      <c r="E5" s="5">
        <v>5</v>
      </c>
      <c r="F5" s="7">
        <v>60000000</v>
      </c>
      <c r="G5" s="5">
        <v>8</v>
      </c>
      <c r="H5" s="7">
        <v>90000000</v>
      </c>
      <c r="I5" s="5">
        <f t="shared" ref="I5:I6" si="1">+E5-G5</f>
        <v>-3</v>
      </c>
      <c r="J5" s="7">
        <f t="shared" ref="J5:J6" si="2">+F5-H5</f>
        <v>-30000000</v>
      </c>
      <c r="K5" s="8">
        <f t="shared" ref="K5:K6" si="3">+I5/G5</f>
        <v>-0.375</v>
      </c>
      <c r="L5" s="8">
        <f t="shared" ref="L5:L6" si="4">+J5/H5</f>
        <v>-0.33333333333333331</v>
      </c>
      <c r="M5" s="8">
        <f t="shared" ref="M5:M6" si="5">+E5/C5</f>
        <v>0.1</v>
      </c>
      <c r="N5" s="8">
        <f t="shared" ref="N5:N6" si="6">+F5/D5</f>
        <v>0.12</v>
      </c>
    </row>
    <row r="6" spans="2:14" x14ac:dyDescent="0.35">
      <c r="B6" s="5" t="s">
        <v>3</v>
      </c>
      <c r="C6" s="5">
        <v>50</v>
      </c>
      <c r="D6" s="7">
        <v>500000000</v>
      </c>
      <c r="E6" s="5">
        <v>7</v>
      </c>
      <c r="F6" s="7">
        <v>50000000</v>
      </c>
      <c r="G6" s="5">
        <v>7</v>
      </c>
      <c r="H6" s="7">
        <v>35000000</v>
      </c>
      <c r="I6" s="5">
        <f t="shared" si="1"/>
        <v>0</v>
      </c>
      <c r="J6" s="7">
        <f t="shared" si="2"/>
        <v>15000000</v>
      </c>
      <c r="K6" s="8">
        <f t="shared" si="3"/>
        <v>0</v>
      </c>
      <c r="L6" s="8">
        <f t="shared" si="4"/>
        <v>0.42857142857142855</v>
      </c>
      <c r="M6" s="8">
        <f t="shared" si="5"/>
        <v>0.14000000000000001</v>
      </c>
      <c r="N6" s="8">
        <f t="shared" si="6"/>
        <v>0.1</v>
      </c>
    </row>
    <row r="7" spans="2:14" x14ac:dyDescent="0.35">
      <c r="B7" s="4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2:14" x14ac:dyDescent="0.35">
      <c r="B8" s="5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2:14" x14ac:dyDescent="0.35">
      <c r="B9" s="5" t="s">
        <v>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2:14" x14ac:dyDescent="0.35">
      <c r="B10" s="4" t="s">
        <v>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2:14" x14ac:dyDescent="0.35">
      <c r="B11" s="5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2:14" x14ac:dyDescent="0.35">
      <c r="B12" s="5" t="s">
        <v>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2:14" x14ac:dyDescent="0.35">
      <c r="B13" s="4" t="s">
        <v>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2:14" x14ac:dyDescent="0.35">
      <c r="B14" s="5" t="s">
        <v>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2:14" x14ac:dyDescent="0.35">
      <c r="B15" s="5" t="s">
        <v>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2:14" x14ac:dyDescent="0.35">
      <c r="B16" s="4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2:14" x14ac:dyDescent="0.35">
      <c r="B17" s="5" t="s">
        <v>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14" x14ac:dyDescent="0.35">
      <c r="B18" s="5" t="s">
        <v>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2:14" x14ac:dyDescent="0.35">
      <c r="B19" s="4" t="s">
        <v>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14" x14ac:dyDescent="0.35">
      <c r="B20" s="5" t="s">
        <v>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 x14ac:dyDescent="0.35">
      <c r="B21" s="5" t="s">
        <v>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 x14ac:dyDescent="0.35">
      <c r="B22" s="5" t="s">
        <v>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4" x14ac:dyDescent="0.35">
      <c r="B23" s="4" t="s">
        <v>10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2:14" x14ac:dyDescent="0.35">
      <c r="B24" s="5" t="s">
        <v>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2:14" x14ac:dyDescent="0.35">
      <c r="B25" s="5" t="s">
        <v>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4" x14ac:dyDescent="0.35">
      <c r="B26" s="4" t="s">
        <v>11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4" x14ac:dyDescent="0.35">
      <c r="B27" s="5" t="s">
        <v>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2:14" x14ac:dyDescent="0.35">
      <c r="B28" s="5" t="s">
        <v>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2:14" x14ac:dyDescent="0.35">
      <c r="B29" s="4" t="s">
        <v>12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2:14" x14ac:dyDescent="0.35">
      <c r="B30" s="5" t="s">
        <v>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2:14" x14ac:dyDescent="0.35">
      <c r="B31" s="5" t="s">
        <v>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2:14" x14ac:dyDescent="0.35">
      <c r="B32" s="4" t="s">
        <v>13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2:14" x14ac:dyDescent="0.35">
      <c r="B33" s="5" t="s">
        <v>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2:14" x14ac:dyDescent="0.35">
      <c r="B34" s="5" t="s">
        <v>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2:14" x14ac:dyDescent="0.35">
      <c r="B35" s="4" t="s">
        <v>14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2:14" x14ac:dyDescent="0.35">
      <c r="B36" s="5" t="s">
        <v>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2:14" x14ac:dyDescent="0.35">
      <c r="B37" s="5" t="s">
        <v>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2:14" x14ac:dyDescent="0.35">
      <c r="B38" s="4" t="s">
        <v>15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2:14" x14ac:dyDescent="0.35">
      <c r="B39" s="5" t="s">
        <v>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4" x14ac:dyDescent="0.35">
      <c r="B40" s="5" t="s">
        <v>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2:14" x14ac:dyDescent="0.35">
      <c r="B41" s="6" t="s">
        <v>22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4" spans="2:14" ht="21" x14ac:dyDescent="0.5">
      <c r="B44" s="9" t="s">
        <v>26</v>
      </c>
    </row>
    <row r="45" spans="2:14" x14ac:dyDescent="0.35">
      <c r="B45" s="1" t="s">
        <v>0</v>
      </c>
      <c r="C45" s="2" t="s">
        <v>16</v>
      </c>
      <c r="D45" s="2"/>
      <c r="E45" s="2" t="s">
        <v>19</v>
      </c>
      <c r="F45" s="2"/>
      <c r="G45" s="2" t="s">
        <v>20</v>
      </c>
      <c r="H45" s="2"/>
      <c r="I45" s="2" t="s">
        <v>21</v>
      </c>
      <c r="J45" s="2"/>
      <c r="K45" s="2" t="s">
        <v>23</v>
      </c>
      <c r="L45" s="2"/>
      <c r="M45" s="2" t="s">
        <v>24</v>
      </c>
      <c r="N45" s="2"/>
    </row>
    <row r="46" spans="2:14" x14ac:dyDescent="0.35">
      <c r="B46" s="1"/>
      <c r="C46" s="3" t="s">
        <v>17</v>
      </c>
      <c r="D46" s="3" t="s">
        <v>18</v>
      </c>
      <c r="E46" s="3" t="s">
        <v>17</v>
      </c>
      <c r="F46" s="3" t="s">
        <v>18</v>
      </c>
      <c r="G46" s="3" t="s">
        <v>17</v>
      </c>
      <c r="H46" s="3" t="s">
        <v>18</v>
      </c>
      <c r="I46" s="3" t="s">
        <v>17</v>
      </c>
      <c r="J46" s="3" t="s">
        <v>18</v>
      </c>
      <c r="K46" s="3" t="s">
        <v>17</v>
      </c>
      <c r="L46" s="3" t="s">
        <v>18</v>
      </c>
      <c r="M46" s="3" t="s">
        <v>17</v>
      </c>
      <c r="N46" s="3" t="s">
        <v>18</v>
      </c>
    </row>
    <row r="47" spans="2:14" x14ac:dyDescent="0.35">
      <c r="B47" s="4" t="s">
        <v>1</v>
      </c>
      <c r="C47" s="7">
        <f>+C48+C49</f>
        <v>100</v>
      </c>
      <c r="D47" s="7">
        <f>+D48+D49</f>
        <v>1000000000</v>
      </c>
      <c r="E47" s="7">
        <f t="shared" ref="E47" si="7">+E48+E49</f>
        <v>12</v>
      </c>
      <c r="F47" s="7">
        <f t="shared" ref="F47" si="8">+F48+F49</f>
        <v>110000000</v>
      </c>
      <c r="G47" s="7">
        <f t="shared" ref="G47" si="9">+G48+G49</f>
        <v>15</v>
      </c>
      <c r="H47" s="7">
        <f t="shared" ref="H47" si="10">+H48+H49</f>
        <v>125000000</v>
      </c>
      <c r="I47" s="7">
        <f t="shared" ref="I47" si="11">+I48+I49</f>
        <v>-3</v>
      </c>
      <c r="J47" s="7">
        <f t="shared" ref="J47" si="12">+J48+J49</f>
        <v>-15000000</v>
      </c>
      <c r="K47" s="8">
        <f>+I47/G47</f>
        <v>-0.2</v>
      </c>
      <c r="L47" s="8">
        <f>+J47/H47</f>
        <v>-0.12</v>
      </c>
      <c r="M47" s="8">
        <f>+E47/C47</f>
        <v>0.12</v>
      </c>
      <c r="N47" s="8">
        <f>+F47/D47</f>
        <v>0.11</v>
      </c>
    </row>
    <row r="48" spans="2:14" x14ac:dyDescent="0.35">
      <c r="B48" s="5" t="s">
        <v>2</v>
      </c>
      <c r="C48" s="5">
        <v>50</v>
      </c>
      <c r="D48" s="7">
        <v>500000000</v>
      </c>
      <c r="E48" s="5">
        <v>5</v>
      </c>
      <c r="F48" s="7">
        <v>60000000</v>
      </c>
      <c r="G48" s="5">
        <v>8</v>
      </c>
      <c r="H48" s="7">
        <v>90000000</v>
      </c>
      <c r="I48" s="5">
        <f t="shared" ref="I48:I49" si="13">+E48-G48</f>
        <v>-3</v>
      </c>
      <c r="J48" s="7">
        <f t="shared" ref="J48:J49" si="14">+F48-H48</f>
        <v>-30000000</v>
      </c>
      <c r="K48" s="8">
        <f t="shared" ref="K48:K49" si="15">+I48/G48</f>
        <v>-0.375</v>
      </c>
      <c r="L48" s="8">
        <f t="shared" ref="L48:L49" si="16">+J48/H48</f>
        <v>-0.33333333333333331</v>
      </c>
      <c r="M48" s="8">
        <f t="shared" ref="M48:M49" si="17">+E48/C48</f>
        <v>0.1</v>
      </c>
      <c r="N48" s="8">
        <f t="shared" ref="N48:N49" si="18">+F48/D48</f>
        <v>0.12</v>
      </c>
    </row>
    <row r="49" spans="2:14" x14ac:dyDescent="0.35">
      <c r="B49" s="5" t="s">
        <v>3</v>
      </c>
      <c r="C49" s="5">
        <v>50</v>
      </c>
      <c r="D49" s="7">
        <v>500000000</v>
      </c>
      <c r="E49" s="5">
        <v>7</v>
      </c>
      <c r="F49" s="7">
        <v>50000000</v>
      </c>
      <c r="G49" s="5">
        <v>7</v>
      </c>
      <c r="H49" s="7">
        <v>35000000</v>
      </c>
      <c r="I49" s="5">
        <f t="shared" si="13"/>
        <v>0</v>
      </c>
      <c r="J49" s="7">
        <f t="shared" si="14"/>
        <v>15000000</v>
      </c>
      <c r="K49" s="8">
        <f t="shared" si="15"/>
        <v>0</v>
      </c>
      <c r="L49" s="8">
        <f t="shared" si="16"/>
        <v>0.42857142857142855</v>
      </c>
      <c r="M49" s="8">
        <f t="shared" si="17"/>
        <v>0.14000000000000001</v>
      </c>
      <c r="N49" s="8">
        <f t="shared" si="18"/>
        <v>0.1</v>
      </c>
    </row>
    <row r="50" spans="2:14" x14ac:dyDescent="0.35">
      <c r="B50" s="4" t="s">
        <v>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2:14" x14ac:dyDescent="0.35">
      <c r="B51" s="5" t="s">
        <v>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2:14" x14ac:dyDescent="0.35">
      <c r="B52" s="5" t="s">
        <v>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2:14" x14ac:dyDescent="0.35">
      <c r="B53" s="4" t="s">
        <v>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2:14" x14ac:dyDescent="0.35">
      <c r="B54" s="5" t="s">
        <v>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2:14" x14ac:dyDescent="0.35">
      <c r="B55" s="5" t="s">
        <v>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2:14" x14ac:dyDescent="0.35">
      <c r="B56" s="4" t="s">
        <v>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2:14" x14ac:dyDescent="0.35">
      <c r="B57" s="5" t="s">
        <v>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2:14" x14ac:dyDescent="0.35">
      <c r="B58" s="5" t="s">
        <v>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2:14" x14ac:dyDescent="0.35">
      <c r="B59" s="4" t="s">
        <v>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2:14" x14ac:dyDescent="0.35">
      <c r="B60" s="5" t="s">
        <v>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2:14" x14ac:dyDescent="0.35">
      <c r="B61" s="5" t="s">
        <v>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2:14" x14ac:dyDescent="0.35">
      <c r="B62" s="4" t="s">
        <v>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2:14" x14ac:dyDescent="0.35">
      <c r="B63" s="5" t="s">
        <v>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2:14" x14ac:dyDescent="0.35">
      <c r="B64" s="5" t="s">
        <v>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2:14" x14ac:dyDescent="0.35">
      <c r="B65" s="5" t="s">
        <v>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2:14" x14ac:dyDescent="0.35">
      <c r="B66" s="4" t="s">
        <v>10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2:14" x14ac:dyDescent="0.35">
      <c r="B67" s="5" t="s">
        <v>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2:14" x14ac:dyDescent="0.35">
      <c r="B68" s="5" t="s">
        <v>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2:14" x14ac:dyDescent="0.35">
      <c r="B69" s="4" t="s">
        <v>11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2:14" x14ac:dyDescent="0.35">
      <c r="B70" s="5" t="s">
        <v>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2:14" x14ac:dyDescent="0.35">
      <c r="B71" s="5" t="s">
        <v>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2:14" x14ac:dyDescent="0.35">
      <c r="B72" s="4" t="s">
        <v>12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2:14" x14ac:dyDescent="0.35">
      <c r="B73" s="5" t="s">
        <v>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2:14" x14ac:dyDescent="0.35">
      <c r="B74" s="5" t="s">
        <v>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2:14" x14ac:dyDescent="0.35">
      <c r="B75" s="4" t="s">
        <v>13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2:14" x14ac:dyDescent="0.35">
      <c r="B76" s="5" t="s">
        <v>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2:14" x14ac:dyDescent="0.35">
      <c r="B77" s="5" t="s">
        <v>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2:14" x14ac:dyDescent="0.35">
      <c r="B78" s="4" t="s">
        <v>14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2:14" x14ac:dyDescent="0.35">
      <c r="B79" s="5" t="s">
        <v>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2:14" x14ac:dyDescent="0.35">
      <c r="B80" s="5" t="s">
        <v>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2:14" x14ac:dyDescent="0.35">
      <c r="B81" s="4" t="s">
        <v>15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2:14" x14ac:dyDescent="0.35">
      <c r="B82" s="5" t="s">
        <v>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2:14" x14ac:dyDescent="0.35">
      <c r="B83" s="5" t="s">
        <v>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2:14" x14ac:dyDescent="0.35">
      <c r="B84" s="6" t="s">
        <v>22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</sheetData>
  <mergeCells count="14">
    <mergeCell ref="M45:N45"/>
    <mergeCell ref="B45:B46"/>
    <mergeCell ref="C45:D45"/>
    <mergeCell ref="E45:F45"/>
    <mergeCell ref="G45:H45"/>
    <mergeCell ref="I45:J45"/>
    <mergeCell ref="K45:L45"/>
    <mergeCell ref="C2:D2"/>
    <mergeCell ref="M2:N2"/>
    <mergeCell ref="E2:F2"/>
    <mergeCell ref="G2:H2"/>
    <mergeCell ref="I2:J2"/>
    <mergeCell ref="B2:B3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Wahono</dc:creator>
  <cp:lastModifiedBy>Budi Wahono</cp:lastModifiedBy>
  <dcterms:created xsi:type="dcterms:W3CDTF">2025-12-28T13:09:18Z</dcterms:created>
  <dcterms:modified xsi:type="dcterms:W3CDTF">2025-12-28T13:50:31Z</dcterms:modified>
</cp:coreProperties>
</file>